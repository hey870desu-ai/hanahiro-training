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フトパターン" sheetId="1" state="visible" r:id="rId1"/>
    <sheet xmlns:r="http://schemas.openxmlformats.org/officeDocument/2006/relationships" name="勤務形態一覧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Yu Mincho"/>
      <b val="1"/>
      <color rgb="001F2933"/>
      <sz val="18"/>
    </font>
    <font>
      <name val="Yu Gothic"/>
      <color rgb="008B8E95"/>
      <sz val="9"/>
    </font>
    <font>
      <name val="Yu Gothic"/>
      <b val="1"/>
      <color rgb="00FFFFFF"/>
      <sz val="10"/>
    </font>
    <font>
      <name val="Yu Gothic"/>
      <b val="1"/>
      <color rgb="001F2933"/>
      <sz val="10"/>
    </font>
    <font>
      <name val="Yu Gothic"/>
      <color rgb="001F2933"/>
      <sz val="10"/>
    </font>
    <font>
      <name val="Yu Gothic"/>
      <b val="1"/>
      <color rgb="00FFFFFF"/>
      <sz val="9"/>
    </font>
    <font>
      <name val="Yu Gothic"/>
      <color rgb="001F2933"/>
      <sz val="9"/>
    </font>
    <font>
      <name val="Yu Gothic"/>
      <b val="1"/>
      <color rgb="001F2933"/>
      <sz val="12"/>
    </font>
  </fonts>
  <fills count="7">
    <fill>
      <patternFill/>
    </fill>
    <fill>
      <patternFill patternType="gray125"/>
    </fill>
    <fill>
      <patternFill patternType="solid">
        <fgColor rgb="001F2933"/>
        <bgColor rgb="001F2933"/>
      </patternFill>
    </fill>
    <fill>
      <patternFill patternType="solid">
        <fgColor rgb="00F4EAD6"/>
        <bgColor rgb="00F4EAD6"/>
      </patternFill>
    </fill>
    <fill>
      <patternFill patternType="solid">
        <fgColor rgb="00FBF9F4"/>
        <bgColor rgb="00FBF9F4"/>
      </patternFill>
    </fill>
    <fill>
      <patternFill patternType="solid">
        <fgColor rgb="00FFF4EC"/>
        <bgColor rgb="00FFF4EC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E3DCCC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E3DCCC"/>
      </top>
      <bottom/>
      <diagonal/>
    </border>
    <border>
      <left/>
      <right style="thin">
        <color rgb="00E3DCCC"/>
      </right>
      <top style="thin">
        <color rgb="00E3DCCC"/>
      </top>
      <bottom/>
      <diagonal/>
    </border>
    <border>
      <left/>
      <right/>
      <top style="thin">
        <color rgb="00E3DCCC"/>
      </top>
      <bottom style="thin">
        <color rgb="00E3DCCC"/>
      </bottom>
      <diagonal/>
    </border>
    <border>
      <left/>
      <right style="thin">
        <color rgb="00E3DCCC"/>
      </right>
      <top style="thin">
        <color rgb="00E3DCCC"/>
      </top>
      <bottom style="thin">
        <color rgb="00E3DCCC"/>
      </bottom>
      <diagonal/>
    </border>
    <border>
      <left style="thin">
        <color rgb="00E3DCCC"/>
      </left>
      <right style="medium">
        <color rgb="00A87827"/>
      </right>
      <top style="thin">
        <color rgb="00E3DCCC"/>
      </top>
      <bottom style="thin">
        <color rgb="00E3DCCC"/>
      </bottom>
    </border>
    <border>
      <left style="medium">
        <color rgb="00A87827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7" fillId="5" borderId="7" applyAlignment="1" pivotButton="0" quotePrefix="0" xfId="0">
      <alignment horizontal="center" vertical="center" wrapText="1"/>
    </xf>
    <xf numFmtId="0" fontId="7" fillId="6" borderId="8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2" fontId="4" fillId="3" borderId="2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1" customWidth="1" min="3" max="3"/>
    <col width="11" customWidth="1" min="4" max="4"/>
    <col width="9" customWidth="1" min="5" max="5"/>
    <col width="11" customWidth="1" min="6" max="6"/>
    <col width="26" customWidth="1" min="7" max="7"/>
  </cols>
  <sheetData>
    <row r="1" ht="32" customHeight="1">
      <c r="A1" s="1" t="inlineStr">
        <is>
          <t>シフトパターン マスタ</t>
        </is>
      </c>
    </row>
    <row r="2">
      <c r="A2" s="2" t="inlineStr">
        <is>
          <t>※ シフト追加・編集する場合はここに行を追加してください。「勤務形態一覧表」のドロップダウンに自動反映されます。</t>
        </is>
      </c>
    </row>
    <row r="4" ht="28" customHeight="1">
      <c r="A4" s="3" t="inlineStr">
        <is>
          <t>コード</t>
        </is>
      </c>
      <c r="B4" s="3" t="inlineStr">
        <is>
          <t>シフト名</t>
        </is>
      </c>
      <c r="C4" s="3" t="inlineStr">
        <is>
          <t>開始時刻</t>
        </is>
      </c>
      <c r="D4" s="3" t="inlineStr">
        <is>
          <t>終了時刻</t>
        </is>
      </c>
      <c r="E4" s="3" t="inlineStr">
        <is>
          <t>休憩</t>
        </is>
      </c>
      <c r="F4" s="3" t="inlineStr">
        <is>
          <t>実働時間
(h)</t>
        </is>
      </c>
      <c r="G4" s="3" t="inlineStr">
        <is>
          <t>備考</t>
        </is>
      </c>
    </row>
    <row r="5" ht="22" customHeight="1">
      <c r="A5" s="4" t="inlineStr">
        <is>
          <t>早</t>
        </is>
      </c>
      <c r="B5" s="5" t="inlineStr">
        <is>
          <t>早番</t>
        </is>
      </c>
      <c r="C5" s="5" t="inlineStr">
        <is>
          <t>7:30</t>
        </is>
      </c>
      <c r="D5" s="5" t="inlineStr">
        <is>
          <t>16:30</t>
        </is>
      </c>
      <c r="E5" s="5" t="inlineStr">
        <is>
          <t>1:00</t>
        </is>
      </c>
      <c r="F5" s="6" t="n">
        <v>8</v>
      </c>
      <c r="G5" s="7" t="inlineStr"/>
    </row>
    <row r="6" ht="22" customHeight="1">
      <c r="A6" s="4" t="inlineStr">
        <is>
          <t>日</t>
        </is>
      </c>
      <c r="B6" s="5" t="inlineStr">
        <is>
          <t>日勤</t>
        </is>
      </c>
      <c r="C6" s="5" t="inlineStr">
        <is>
          <t>9:00</t>
        </is>
      </c>
      <c r="D6" s="5" t="inlineStr">
        <is>
          <t>18:00</t>
        </is>
      </c>
      <c r="E6" s="5" t="inlineStr">
        <is>
          <t>1:00</t>
        </is>
      </c>
      <c r="F6" s="6" t="n">
        <v>8</v>
      </c>
      <c r="G6" s="7" t="inlineStr"/>
    </row>
    <row r="7" ht="22" customHeight="1">
      <c r="A7" s="4" t="inlineStr">
        <is>
          <t>遅</t>
        </is>
      </c>
      <c r="B7" s="5" t="inlineStr">
        <is>
          <t>遅番</t>
        </is>
      </c>
      <c r="C7" s="5" t="inlineStr">
        <is>
          <t>11:00</t>
        </is>
      </c>
      <c r="D7" s="5" t="inlineStr">
        <is>
          <t>20:00</t>
        </is>
      </c>
      <c r="E7" s="5" t="inlineStr">
        <is>
          <t>1:00</t>
        </is>
      </c>
      <c r="F7" s="6" t="n">
        <v>8</v>
      </c>
      <c r="G7" s="7" t="inlineStr"/>
    </row>
    <row r="8" ht="22" customHeight="1">
      <c r="A8" s="4" t="inlineStr">
        <is>
          <t>A</t>
        </is>
      </c>
      <c r="B8" s="5" t="inlineStr">
        <is>
          <t>午前の部担当</t>
        </is>
      </c>
      <c r="C8" s="5" t="inlineStr">
        <is>
          <t>8:30</t>
        </is>
      </c>
      <c r="D8" s="5" t="inlineStr">
        <is>
          <t>13:00</t>
        </is>
      </c>
      <c r="E8" s="5" t="inlineStr"/>
      <c r="F8" s="6" t="n">
        <v>4.5</v>
      </c>
      <c r="G8" s="7" t="inlineStr">
        <is>
          <t>poem de riha 想定</t>
        </is>
      </c>
    </row>
    <row r="9" ht="22" customHeight="1">
      <c r="A9" s="4" t="inlineStr">
        <is>
          <t>B</t>
        </is>
      </c>
      <c r="B9" s="5" t="inlineStr">
        <is>
          <t>午後の部担当</t>
        </is>
      </c>
      <c r="C9" s="5" t="inlineStr">
        <is>
          <t>13:00</t>
        </is>
      </c>
      <c r="D9" s="5" t="inlineStr">
        <is>
          <t>17:00</t>
        </is>
      </c>
      <c r="E9" s="5" t="inlineStr"/>
      <c r="F9" s="6" t="n">
        <v>4</v>
      </c>
      <c r="G9" s="7" t="inlineStr">
        <is>
          <t>poem de riha 想定</t>
        </is>
      </c>
    </row>
    <row r="10" ht="22" customHeight="1">
      <c r="A10" s="4" t="inlineStr">
        <is>
          <t>通</t>
        </is>
      </c>
      <c r="B10" s="5" t="inlineStr">
        <is>
          <t>通し勤務</t>
        </is>
      </c>
      <c r="C10" s="5" t="inlineStr">
        <is>
          <t>8:30</t>
        </is>
      </c>
      <c r="D10" s="5" t="inlineStr">
        <is>
          <t>17:30</t>
        </is>
      </c>
      <c r="E10" s="5" t="inlineStr">
        <is>
          <t>1:00</t>
        </is>
      </c>
      <c r="F10" s="6" t="n">
        <v>8</v>
      </c>
      <c r="G10" s="7" t="inlineStr"/>
    </row>
    <row r="11" ht="22" customHeight="1">
      <c r="A11" s="4" t="inlineStr">
        <is>
          <t>半早</t>
        </is>
      </c>
      <c r="B11" s="5" t="inlineStr">
        <is>
          <t>半日早番</t>
        </is>
      </c>
      <c r="C11" s="5" t="inlineStr">
        <is>
          <t>8:30</t>
        </is>
      </c>
      <c r="D11" s="5" t="inlineStr">
        <is>
          <t>13:00</t>
        </is>
      </c>
      <c r="E11" s="5" t="inlineStr"/>
      <c r="F11" s="6" t="n">
        <v>4.5</v>
      </c>
      <c r="G11" s="7" t="inlineStr"/>
    </row>
    <row r="12" ht="22" customHeight="1">
      <c r="A12" s="4" t="inlineStr">
        <is>
          <t>半遅</t>
        </is>
      </c>
      <c r="B12" s="5" t="inlineStr">
        <is>
          <t>半日遅番</t>
        </is>
      </c>
      <c r="C12" s="5" t="inlineStr">
        <is>
          <t>13:00</t>
        </is>
      </c>
      <c r="D12" s="5" t="inlineStr">
        <is>
          <t>17:30</t>
        </is>
      </c>
      <c r="E12" s="5" t="inlineStr"/>
      <c r="F12" s="6" t="n">
        <v>4.5</v>
      </c>
      <c r="G12" s="7" t="inlineStr"/>
    </row>
    <row r="13" ht="22" customHeight="1">
      <c r="A13" s="4" t="inlineStr">
        <is>
          <t>夜</t>
        </is>
      </c>
      <c r="B13" s="5" t="inlineStr">
        <is>
          <t>夜勤</t>
        </is>
      </c>
      <c r="C13" s="5" t="inlineStr">
        <is>
          <t>17:00</t>
        </is>
      </c>
      <c r="D13" s="5" t="inlineStr">
        <is>
          <t>翌9:00</t>
        </is>
      </c>
      <c r="E13" s="5" t="inlineStr">
        <is>
          <t>2:00</t>
        </is>
      </c>
      <c r="F13" s="6" t="n">
        <v>14</v>
      </c>
      <c r="G13" s="7" t="inlineStr"/>
    </row>
    <row r="14" ht="22" customHeight="1">
      <c r="A14" s="4" t="inlineStr">
        <is>
          <t>短</t>
        </is>
      </c>
      <c r="B14" s="5" t="inlineStr">
        <is>
          <t>短時間</t>
        </is>
      </c>
      <c r="C14" s="5" t="inlineStr">
        <is>
          <t>9:00</t>
        </is>
      </c>
      <c r="D14" s="5" t="inlineStr">
        <is>
          <t>13:00</t>
        </is>
      </c>
      <c r="E14" s="5" t="inlineStr"/>
      <c r="F14" s="6" t="n">
        <v>4</v>
      </c>
      <c r="G14" s="7" t="inlineStr"/>
    </row>
    <row r="15" ht="22" customHeight="1">
      <c r="A15" s="4" t="inlineStr">
        <is>
          <t>有</t>
        </is>
      </c>
      <c r="B15" s="5" t="inlineStr">
        <is>
          <t>有給休暇</t>
        </is>
      </c>
      <c r="C15" s="5" t="inlineStr"/>
      <c r="D15" s="5" t="inlineStr"/>
      <c r="E15" s="5" t="inlineStr"/>
      <c r="F15" s="6" t="n">
        <v>8</v>
      </c>
      <c r="G15" s="7" t="inlineStr">
        <is>
          <t>所定労働時間で計上</t>
        </is>
      </c>
    </row>
    <row r="16" ht="22" customHeight="1">
      <c r="A16" s="4" t="inlineStr">
        <is>
          <t>特</t>
        </is>
      </c>
      <c r="B16" s="5" t="inlineStr">
        <is>
          <t>特別休暇</t>
        </is>
      </c>
      <c r="C16" s="5" t="inlineStr"/>
      <c r="D16" s="5" t="inlineStr"/>
      <c r="E16" s="5" t="inlineStr"/>
      <c r="F16" s="6" t="n">
        <v>0</v>
      </c>
      <c r="G16" s="7" t="inlineStr"/>
    </row>
    <row r="17" ht="22" customHeight="1">
      <c r="A17" s="4" t="inlineStr">
        <is>
          <t>公</t>
        </is>
      </c>
      <c r="B17" s="5" t="inlineStr">
        <is>
          <t>公休（休日）</t>
        </is>
      </c>
      <c r="C17" s="5" t="inlineStr"/>
      <c r="D17" s="5" t="inlineStr"/>
      <c r="E17" s="5" t="inlineStr"/>
      <c r="F17" s="6" t="n">
        <v>0</v>
      </c>
      <c r="G17" s="7" t="inlineStr"/>
    </row>
    <row r="18" ht="22" customHeight="1">
      <c r="A18" s="4" t="inlineStr">
        <is>
          <t>休</t>
        </is>
      </c>
      <c r="B18" s="5" t="inlineStr">
        <is>
          <t>休み</t>
        </is>
      </c>
      <c r="C18" s="5" t="inlineStr"/>
      <c r="D18" s="5" t="inlineStr"/>
      <c r="E18" s="5" t="inlineStr"/>
      <c r="F18" s="6" t="n">
        <v>0</v>
      </c>
      <c r="G18" s="7" t="inlineStr"/>
    </row>
    <row r="19" ht="22" customHeight="1">
      <c r="A19" s="5" t="n"/>
      <c r="B19" s="5" t="n"/>
      <c r="C19" s="5" t="n"/>
      <c r="D19" s="5" t="n"/>
      <c r="E19" s="5" t="n"/>
      <c r="F19" s="5" t="n"/>
      <c r="G19" s="8" t="n"/>
    </row>
    <row r="20" ht="22" customHeight="1">
      <c r="A20" s="5" t="n"/>
      <c r="B20" s="5" t="n"/>
      <c r="C20" s="5" t="n"/>
      <c r="D20" s="5" t="n"/>
      <c r="E20" s="5" t="n"/>
      <c r="F20" s="5" t="n"/>
      <c r="G20" s="8" t="n"/>
    </row>
    <row r="21" ht="22" customHeight="1">
      <c r="A21" s="5" t="n"/>
      <c r="B21" s="5" t="n"/>
      <c r="C21" s="5" t="n"/>
      <c r="D21" s="5" t="n"/>
      <c r="E21" s="5" t="n"/>
      <c r="F21" s="5" t="n"/>
      <c r="G21" s="8" t="n"/>
    </row>
    <row r="22" ht="22" customHeight="1">
      <c r="A22" s="5" t="n"/>
      <c r="B22" s="5" t="n"/>
      <c r="C22" s="5" t="n"/>
      <c r="D22" s="5" t="n"/>
      <c r="E22" s="5" t="n"/>
      <c r="F22" s="5" t="n"/>
      <c r="G22" s="8" t="n"/>
    </row>
    <row r="23" ht="22" customHeight="1">
      <c r="A23" s="5" t="n"/>
      <c r="B23" s="5" t="n"/>
      <c r="C23" s="5" t="n"/>
      <c r="D23" s="5" t="n"/>
      <c r="E23" s="5" t="n"/>
      <c r="F23" s="5" t="n"/>
      <c r="G23" s="8" t="n"/>
    </row>
  </sheetData>
  <mergeCells count="2">
    <mergeCell ref="A2:G2"/>
    <mergeCell ref="A1:G1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39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3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9" customWidth="1" min="33" max="33"/>
    <col width="9" customWidth="1" min="34" max="34"/>
    <col width="10" customWidth="1" min="35" max="35"/>
    <col width="14" customWidth="1" min="36" max="36"/>
  </cols>
  <sheetData>
    <row r="1" ht="32" customHeight="1">
      <c r="A1" s="1" t="inlineStr">
        <is>
          <t>勤務形態一覧表（月単位 / 28日分）</t>
        </is>
      </c>
    </row>
    <row r="3">
      <c r="A3" s="9" t="inlineStr">
        <is>
          <t>事業所名</t>
        </is>
      </c>
      <c r="B3" s="10" t="n"/>
      <c r="C3" s="10" t="n"/>
      <c r="D3" s="11" t="n"/>
      <c r="E3" s="8" t="inlineStr">
        <is>
          <t>poem de riha 安積店</t>
        </is>
      </c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1" t="n"/>
      <c r="S3" s="9" t="inlineStr">
        <is>
          <t>サービス種別</t>
        </is>
      </c>
      <c r="T3" s="10" t="n"/>
      <c r="U3" s="10" t="n"/>
      <c r="V3" s="11" t="n"/>
      <c r="W3" s="8" t="inlineStr">
        <is>
          <t>地域密着型通所介護（3時間以上4時間未満）／ 介護予防・日常生活支援総合事業</t>
        </is>
      </c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1" t="n"/>
    </row>
    <row r="4">
      <c r="A4" s="9" t="inlineStr">
        <is>
          <t>所在地</t>
        </is>
      </c>
      <c r="B4" s="10" t="n"/>
      <c r="C4" s="10" t="n"/>
      <c r="D4" s="11" t="n"/>
      <c r="E4" s="8" t="inlineStr">
        <is>
          <t>福島県郡山市安積町笹川字四角担3-1</t>
        </is>
      </c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  <c r="S4" s="9" t="inlineStr">
        <is>
          <t>基準年月</t>
        </is>
      </c>
      <c r="T4" s="10" t="n"/>
      <c r="U4" s="10" t="n"/>
      <c r="V4" s="11" t="n"/>
      <c r="W4" s="8" t="inlineStr">
        <is>
          <t>令和8年（2026年）6月</t>
        </is>
      </c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1" t="n"/>
    </row>
    <row r="5">
      <c r="A5" s="9" t="inlineStr">
        <is>
          <t>サービス提供時間</t>
        </is>
      </c>
      <c r="B5" s="10" t="n"/>
      <c r="C5" s="10" t="n"/>
      <c r="D5" s="11" t="n"/>
      <c r="E5" s="8" t="inlineStr">
        <is>
          <t>午前 9:00〜12:05 ／ 午後 13:25〜16:30</t>
        </is>
      </c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1" t="n"/>
      <c r="S5" s="9" t="inlineStr">
        <is>
          <t>営業日</t>
        </is>
      </c>
      <c r="T5" s="10" t="n"/>
      <c r="U5" s="10" t="n"/>
      <c r="V5" s="11" t="n"/>
      <c r="W5" s="8" t="inlineStr">
        <is>
          <t>月〜金（祝日も営業）／ 休：土日・年末年始</t>
        </is>
      </c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1" t="n"/>
    </row>
    <row r="7" ht="22" customHeight="1">
      <c r="A7" s="3" t="inlineStr">
        <is>
          <t>No.</t>
        </is>
      </c>
      <c r="B7" s="3" t="inlineStr">
        <is>
          <t>職種</t>
        </is>
      </c>
      <c r="C7" s="3" t="inlineStr">
        <is>
          <t>雇用形態</t>
        </is>
      </c>
      <c r="D7" s="3" t="inlineStr">
        <is>
          <t>氏名</t>
        </is>
      </c>
      <c r="E7" s="3" t="inlineStr">
        <is>
          <t>第1週</t>
        </is>
      </c>
      <c r="L7" s="3" t="inlineStr">
        <is>
          <t>第2週</t>
        </is>
      </c>
      <c r="S7" s="3" t="inlineStr">
        <is>
          <t>第3週</t>
        </is>
      </c>
      <c r="Z7" s="3" t="inlineStr">
        <is>
          <t>第4週</t>
        </is>
      </c>
      <c r="AG7" s="12" t="inlineStr">
        <is>
          <t>月合計
(時間)</t>
        </is>
      </c>
      <c r="AH7" s="12" t="inlineStr">
        <is>
          <t>月平均
(h/週)</t>
        </is>
      </c>
      <c r="AI7" s="12" t="inlineStr">
        <is>
          <t>常勤換算
(月/160h)</t>
        </is>
      </c>
      <c r="AJ7" s="12" t="inlineStr">
        <is>
          <t>備考</t>
        </is>
      </c>
    </row>
    <row r="8" ht="22" customHeight="1">
      <c r="E8" s="12" t="inlineStr">
        <is>
          <t>月</t>
        </is>
      </c>
      <c r="F8" s="12" t="inlineStr">
        <is>
          <t>火</t>
        </is>
      </c>
      <c r="G8" s="12" t="inlineStr">
        <is>
          <t>水</t>
        </is>
      </c>
      <c r="H8" s="12" t="inlineStr">
        <is>
          <t>木</t>
        </is>
      </c>
      <c r="I8" s="12" t="inlineStr">
        <is>
          <t>金</t>
        </is>
      </c>
      <c r="J8" s="12" t="inlineStr">
        <is>
          <t>土</t>
        </is>
      </c>
      <c r="K8" s="12" t="inlineStr">
        <is>
          <t>日</t>
        </is>
      </c>
      <c r="L8" s="12" t="inlineStr">
        <is>
          <t>月</t>
        </is>
      </c>
      <c r="M8" s="12" t="inlineStr">
        <is>
          <t>火</t>
        </is>
      </c>
      <c r="N8" s="12" t="inlineStr">
        <is>
          <t>水</t>
        </is>
      </c>
      <c r="O8" s="12" t="inlineStr">
        <is>
          <t>木</t>
        </is>
      </c>
      <c r="P8" s="12" t="inlineStr">
        <is>
          <t>金</t>
        </is>
      </c>
      <c r="Q8" s="12" t="inlineStr">
        <is>
          <t>土</t>
        </is>
      </c>
      <c r="R8" s="12" t="inlineStr">
        <is>
          <t>日</t>
        </is>
      </c>
      <c r="S8" s="12" t="inlineStr">
        <is>
          <t>月</t>
        </is>
      </c>
      <c r="T8" s="12" t="inlineStr">
        <is>
          <t>火</t>
        </is>
      </c>
      <c r="U8" s="12" t="inlineStr">
        <is>
          <t>水</t>
        </is>
      </c>
      <c r="V8" s="12" t="inlineStr">
        <is>
          <t>木</t>
        </is>
      </c>
      <c r="W8" s="12" t="inlineStr">
        <is>
          <t>金</t>
        </is>
      </c>
      <c r="X8" s="12" t="inlineStr">
        <is>
          <t>土</t>
        </is>
      </c>
      <c r="Y8" s="12" t="inlineStr">
        <is>
          <t>日</t>
        </is>
      </c>
      <c r="Z8" s="12" t="inlineStr">
        <is>
          <t>月</t>
        </is>
      </c>
      <c r="AA8" s="12" t="inlineStr">
        <is>
          <t>火</t>
        </is>
      </c>
      <c r="AB8" s="12" t="inlineStr">
        <is>
          <t>水</t>
        </is>
      </c>
      <c r="AC8" s="12" t="inlineStr">
        <is>
          <t>木</t>
        </is>
      </c>
      <c r="AD8" s="12" t="inlineStr">
        <is>
          <t>金</t>
        </is>
      </c>
      <c r="AE8" s="12" t="inlineStr">
        <is>
          <t>土</t>
        </is>
      </c>
      <c r="AF8" s="12" t="inlineStr">
        <is>
          <t>日</t>
        </is>
      </c>
    </row>
    <row r="9" ht="22" customHeight="1">
      <c r="A9" s="5" t="n">
        <v>1</v>
      </c>
      <c r="B9" s="8" t="inlineStr">
        <is>
          <t>管理者</t>
        </is>
      </c>
      <c r="C9" s="8" t="inlineStr">
        <is>
          <t>常勤専従</t>
        </is>
      </c>
      <c r="D9" s="8" t="n"/>
      <c r="E9" s="13" t="n"/>
      <c r="F9" s="13" t="n"/>
      <c r="G9" s="13" t="n"/>
      <c r="H9" s="13" t="n"/>
      <c r="I9" s="13" t="n"/>
      <c r="J9" s="14" t="n"/>
      <c r="K9" s="15" t="n"/>
      <c r="L9" s="16" t="n"/>
      <c r="M9" s="17" t="n"/>
      <c r="N9" s="17" t="n"/>
      <c r="O9" s="17" t="n"/>
      <c r="P9" s="17" t="n"/>
      <c r="Q9" s="14" t="n"/>
      <c r="R9" s="15" t="n"/>
      <c r="S9" s="18" t="n"/>
      <c r="T9" s="13" t="n"/>
      <c r="U9" s="13" t="n"/>
      <c r="V9" s="13" t="n"/>
      <c r="W9" s="13" t="n"/>
      <c r="X9" s="14" t="n"/>
      <c r="Y9" s="15" t="n"/>
      <c r="Z9" s="16" t="n"/>
      <c r="AA9" s="17" t="n"/>
      <c r="AB9" s="17" t="n"/>
      <c r="AC9" s="17" t="n"/>
      <c r="AD9" s="17" t="n"/>
      <c r="AE9" s="14" t="n"/>
      <c r="AF9" s="14" t="n"/>
      <c r="AG9" s="6">
        <f>SUMPRODUCT(COUNTIF(E9:AF9,シフトパターン!$A$5:$A$23),シフトパターン!$F$5:$F$23)</f>
        <v/>
      </c>
      <c r="AH9" s="6">
        <f>AG9/4</f>
        <v/>
      </c>
      <c r="AI9" s="19">
        <f>AG9/160</f>
        <v/>
      </c>
      <c r="AJ9" s="8" t="inlineStr"/>
    </row>
    <row r="10" ht="22" customHeight="1">
      <c r="A10" s="5" t="n">
        <v>2</v>
      </c>
      <c r="B10" s="8" t="inlineStr">
        <is>
          <t>生活相談員</t>
        </is>
      </c>
      <c r="C10" s="8" t="inlineStr">
        <is>
          <t>常勤専従</t>
        </is>
      </c>
      <c r="D10" s="8" t="n"/>
      <c r="E10" s="13" t="n"/>
      <c r="F10" s="13" t="n"/>
      <c r="G10" s="13" t="n"/>
      <c r="H10" s="13" t="n"/>
      <c r="I10" s="13" t="n"/>
      <c r="J10" s="14" t="n"/>
      <c r="K10" s="15" t="n"/>
      <c r="L10" s="16" t="n"/>
      <c r="M10" s="17" t="n"/>
      <c r="N10" s="17" t="n"/>
      <c r="O10" s="17" t="n"/>
      <c r="P10" s="17" t="n"/>
      <c r="Q10" s="14" t="n"/>
      <c r="R10" s="15" t="n"/>
      <c r="S10" s="18" t="n"/>
      <c r="T10" s="13" t="n"/>
      <c r="U10" s="13" t="n"/>
      <c r="V10" s="13" t="n"/>
      <c r="W10" s="13" t="n"/>
      <c r="X10" s="14" t="n"/>
      <c r="Y10" s="15" t="n"/>
      <c r="Z10" s="16" t="n"/>
      <c r="AA10" s="17" t="n"/>
      <c r="AB10" s="17" t="n"/>
      <c r="AC10" s="17" t="n"/>
      <c r="AD10" s="17" t="n"/>
      <c r="AE10" s="14" t="n"/>
      <c r="AF10" s="14" t="n"/>
      <c r="AG10" s="6">
        <f>SUMPRODUCT(COUNTIF(E10:AF10,シフトパターン!$A$5:$A$23),シフトパターン!$F$5:$F$23)</f>
        <v/>
      </c>
      <c r="AH10" s="6">
        <f>AG10/4</f>
        <v/>
      </c>
      <c r="AI10" s="19">
        <f>AG10/160</f>
        <v/>
      </c>
      <c r="AJ10" s="8" t="inlineStr"/>
    </row>
    <row r="11" ht="22" customHeight="1">
      <c r="A11" s="5" t="n">
        <v>3</v>
      </c>
      <c r="B11" s="8" t="inlineStr">
        <is>
          <t>看護職員</t>
        </is>
      </c>
      <c r="C11" s="8" t="inlineStr">
        <is>
          <t>常勤専従</t>
        </is>
      </c>
      <c r="D11" s="8" t="n"/>
      <c r="E11" s="13" t="n"/>
      <c r="F11" s="13" t="n"/>
      <c r="G11" s="13" t="n"/>
      <c r="H11" s="13" t="n"/>
      <c r="I11" s="13" t="n"/>
      <c r="J11" s="14" t="n"/>
      <c r="K11" s="15" t="n"/>
      <c r="L11" s="16" t="n"/>
      <c r="M11" s="17" t="n"/>
      <c r="N11" s="17" t="n"/>
      <c r="O11" s="17" t="n"/>
      <c r="P11" s="17" t="n"/>
      <c r="Q11" s="14" t="n"/>
      <c r="R11" s="15" t="n"/>
      <c r="S11" s="18" t="n"/>
      <c r="T11" s="13" t="n"/>
      <c r="U11" s="13" t="n"/>
      <c r="V11" s="13" t="n"/>
      <c r="W11" s="13" t="n"/>
      <c r="X11" s="14" t="n"/>
      <c r="Y11" s="15" t="n"/>
      <c r="Z11" s="16" t="n"/>
      <c r="AA11" s="17" t="n"/>
      <c r="AB11" s="17" t="n"/>
      <c r="AC11" s="17" t="n"/>
      <c r="AD11" s="17" t="n"/>
      <c r="AE11" s="14" t="n"/>
      <c r="AF11" s="14" t="n"/>
      <c r="AG11" s="6">
        <f>SUMPRODUCT(COUNTIF(E11:AF11,シフトパターン!$A$5:$A$23),シフトパターン!$F$5:$F$23)</f>
        <v/>
      </c>
      <c r="AH11" s="6">
        <f>AG11/4</f>
        <v/>
      </c>
      <c r="AI11" s="19">
        <f>AG11/160</f>
        <v/>
      </c>
      <c r="AJ11" s="8" t="inlineStr"/>
    </row>
    <row r="12" ht="22" customHeight="1">
      <c r="A12" s="5" t="n">
        <v>4</v>
      </c>
      <c r="B12" s="8" t="inlineStr">
        <is>
          <t>機能訓練指導員</t>
        </is>
      </c>
      <c r="C12" s="8" t="inlineStr">
        <is>
          <t>常勤専従</t>
        </is>
      </c>
      <c r="D12" s="8" t="n"/>
      <c r="E12" s="13" t="n"/>
      <c r="F12" s="13" t="n"/>
      <c r="G12" s="13" t="n"/>
      <c r="H12" s="13" t="n"/>
      <c r="I12" s="13" t="n"/>
      <c r="J12" s="14" t="n"/>
      <c r="K12" s="15" t="n"/>
      <c r="L12" s="16" t="n"/>
      <c r="M12" s="17" t="n"/>
      <c r="N12" s="17" t="n"/>
      <c r="O12" s="17" t="n"/>
      <c r="P12" s="17" t="n"/>
      <c r="Q12" s="14" t="n"/>
      <c r="R12" s="15" t="n"/>
      <c r="S12" s="18" t="n"/>
      <c r="T12" s="13" t="n"/>
      <c r="U12" s="13" t="n"/>
      <c r="V12" s="13" t="n"/>
      <c r="W12" s="13" t="n"/>
      <c r="X12" s="14" t="n"/>
      <c r="Y12" s="15" t="n"/>
      <c r="Z12" s="16" t="n"/>
      <c r="AA12" s="17" t="n"/>
      <c r="AB12" s="17" t="n"/>
      <c r="AC12" s="17" t="n"/>
      <c r="AD12" s="17" t="n"/>
      <c r="AE12" s="14" t="n"/>
      <c r="AF12" s="14" t="n"/>
      <c r="AG12" s="6">
        <f>SUMPRODUCT(COUNTIF(E12:AF12,シフトパターン!$A$5:$A$23),シフトパターン!$F$5:$F$23)</f>
        <v/>
      </c>
      <c r="AH12" s="6">
        <f>AG12/4</f>
        <v/>
      </c>
      <c r="AI12" s="19">
        <f>AG12/160</f>
        <v/>
      </c>
      <c r="AJ12" s="8" t="inlineStr">
        <is>
          <t>柔道整復師</t>
        </is>
      </c>
    </row>
    <row r="13" ht="22" customHeight="1">
      <c r="A13" s="5" t="n">
        <v>5</v>
      </c>
      <c r="B13" s="8" t="inlineStr">
        <is>
          <t>介護職員</t>
        </is>
      </c>
      <c r="C13" s="8" t="inlineStr">
        <is>
          <t>常勤専従</t>
        </is>
      </c>
      <c r="D13" s="8" t="n"/>
      <c r="E13" s="13" t="n"/>
      <c r="F13" s="13" t="n"/>
      <c r="G13" s="13" t="n"/>
      <c r="H13" s="13" t="n"/>
      <c r="I13" s="13" t="n"/>
      <c r="J13" s="14" t="n"/>
      <c r="K13" s="15" t="n"/>
      <c r="L13" s="16" t="n"/>
      <c r="M13" s="17" t="n"/>
      <c r="N13" s="17" t="n"/>
      <c r="O13" s="17" t="n"/>
      <c r="P13" s="17" t="n"/>
      <c r="Q13" s="14" t="n"/>
      <c r="R13" s="15" t="n"/>
      <c r="S13" s="18" t="n"/>
      <c r="T13" s="13" t="n"/>
      <c r="U13" s="13" t="n"/>
      <c r="V13" s="13" t="n"/>
      <c r="W13" s="13" t="n"/>
      <c r="X13" s="14" t="n"/>
      <c r="Y13" s="15" t="n"/>
      <c r="Z13" s="16" t="n"/>
      <c r="AA13" s="17" t="n"/>
      <c r="AB13" s="17" t="n"/>
      <c r="AC13" s="17" t="n"/>
      <c r="AD13" s="17" t="n"/>
      <c r="AE13" s="14" t="n"/>
      <c r="AF13" s="14" t="n"/>
      <c r="AG13" s="6">
        <f>SUMPRODUCT(COUNTIF(E13:AF13,シフトパターン!$A$5:$A$23),シフトパターン!$F$5:$F$23)</f>
        <v/>
      </c>
      <c r="AH13" s="6">
        <f>AG13/4</f>
        <v/>
      </c>
      <c r="AI13" s="19">
        <f>AG13/160</f>
        <v/>
      </c>
      <c r="AJ13" s="8" t="inlineStr"/>
    </row>
    <row r="14" ht="22" customHeight="1">
      <c r="A14" s="5" t="n">
        <v>6</v>
      </c>
      <c r="B14" s="8" t="inlineStr">
        <is>
          <t>介護職員</t>
        </is>
      </c>
      <c r="C14" s="8" t="inlineStr">
        <is>
          <t>常勤専従</t>
        </is>
      </c>
      <c r="D14" s="8" t="n"/>
      <c r="E14" s="13" t="n"/>
      <c r="F14" s="13" t="n"/>
      <c r="G14" s="13" t="n"/>
      <c r="H14" s="13" t="n"/>
      <c r="I14" s="13" t="n"/>
      <c r="J14" s="14" t="n"/>
      <c r="K14" s="15" t="n"/>
      <c r="L14" s="16" t="n"/>
      <c r="M14" s="17" t="n"/>
      <c r="N14" s="17" t="n"/>
      <c r="O14" s="17" t="n"/>
      <c r="P14" s="17" t="n"/>
      <c r="Q14" s="14" t="n"/>
      <c r="R14" s="15" t="n"/>
      <c r="S14" s="18" t="n"/>
      <c r="T14" s="13" t="n"/>
      <c r="U14" s="13" t="n"/>
      <c r="V14" s="13" t="n"/>
      <c r="W14" s="13" t="n"/>
      <c r="X14" s="14" t="n"/>
      <c r="Y14" s="15" t="n"/>
      <c r="Z14" s="16" t="n"/>
      <c r="AA14" s="17" t="n"/>
      <c r="AB14" s="17" t="n"/>
      <c r="AC14" s="17" t="n"/>
      <c r="AD14" s="17" t="n"/>
      <c r="AE14" s="14" t="n"/>
      <c r="AF14" s="14" t="n"/>
      <c r="AG14" s="6">
        <f>SUMPRODUCT(COUNTIF(E14:AF14,シフトパターン!$A$5:$A$23),シフトパターン!$F$5:$F$23)</f>
        <v/>
      </c>
      <c r="AH14" s="6">
        <f>AG14/4</f>
        <v/>
      </c>
      <c r="AI14" s="19">
        <f>AG14/160</f>
        <v/>
      </c>
      <c r="AJ14" s="8" t="inlineStr"/>
    </row>
    <row r="15" ht="22" customHeight="1">
      <c r="A15" s="5" t="n">
        <v>7</v>
      </c>
      <c r="B15" s="8" t="inlineStr">
        <is>
          <t>介護職員</t>
        </is>
      </c>
      <c r="C15" s="8" t="inlineStr">
        <is>
          <t>非常勤専従</t>
        </is>
      </c>
      <c r="D15" s="8" t="n"/>
      <c r="E15" s="13" t="n"/>
      <c r="F15" s="13" t="n"/>
      <c r="G15" s="13" t="n"/>
      <c r="H15" s="13" t="n"/>
      <c r="I15" s="13" t="n"/>
      <c r="J15" s="14" t="n"/>
      <c r="K15" s="15" t="n"/>
      <c r="L15" s="16" t="n"/>
      <c r="M15" s="17" t="n"/>
      <c r="N15" s="17" t="n"/>
      <c r="O15" s="17" t="n"/>
      <c r="P15" s="17" t="n"/>
      <c r="Q15" s="14" t="n"/>
      <c r="R15" s="15" t="n"/>
      <c r="S15" s="18" t="n"/>
      <c r="T15" s="13" t="n"/>
      <c r="U15" s="13" t="n"/>
      <c r="V15" s="13" t="n"/>
      <c r="W15" s="13" t="n"/>
      <c r="X15" s="14" t="n"/>
      <c r="Y15" s="15" t="n"/>
      <c r="Z15" s="16" t="n"/>
      <c r="AA15" s="17" t="n"/>
      <c r="AB15" s="17" t="n"/>
      <c r="AC15" s="17" t="n"/>
      <c r="AD15" s="17" t="n"/>
      <c r="AE15" s="14" t="n"/>
      <c r="AF15" s="14" t="n"/>
      <c r="AG15" s="6">
        <f>SUMPRODUCT(COUNTIF(E15:AF15,シフトパターン!$A$5:$A$23),シフトパターン!$F$5:$F$23)</f>
        <v/>
      </c>
      <c r="AH15" s="6">
        <f>AG15/4</f>
        <v/>
      </c>
      <c r="AI15" s="19">
        <f>AG15/160</f>
        <v/>
      </c>
      <c r="AJ15" s="8" t="inlineStr"/>
    </row>
    <row r="16" ht="22" customHeight="1">
      <c r="A16" s="5" t="n">
        <v>8</v>
      </c>
      <c r="B16" s="8" t="inlineStr">
        <is>
          <t>介護職員</t>
        </is>
      </c>
      <c r="C16" s="8" t="inlineStr">
        <is>
          <t>非常勤専従</t>
        </is>
      </c>
      <c r="D16" s="8" t="n"/>
      <c r="E16" s="13" t="n"/>
      <c r="F16" s="13" t="n"/>
      <c r="G16" s="13" t="n"/>
      <c r="H16" s="13" t="n"/>
      <c r="I16" s="13" t="n"/>
      <c r="J16" s="14" t="n"/>
      <c r="K16" s="15" t="n"/>
      <c r="L16" s="16" t="n"/>
      <c r="M16" s="17" t="n"/>
      <c r="N16" s="17" t="n"/>
      <c r="O16" s="17" t="n"/>
      <c r="P16" s="17" t="n"/>
      <c r="Q16" s="14" t="n"/>
      <c r="R16" s="15" t="n"/>
      <c r="S16" s="18" t="n"/>
      <c r="T16" s="13" t="n"/>
      <c r="U16" s="13" t="n"/>
      <c r="V16" s="13" t="n"/>
      <c r="W16" s="13" t="n"/>
      <c r="X16" s="14" t="n"/>
      <c r="Y16" s="15" t="n"/>
      <c r="Z16" s="16" t="n"/>
      <c r="AA16" s="17" t="n"/>
      <c r="AB16" s="17" t="n"/>
      <c r="AC16" s="17" t="n"/>
      <c r="AD16" s="17" t="n"/>
      <c r="AE16" s="14" t="n"/>
      <c r="AF16" s="14" t="n"/>
      <c r="AG16" s="6">
        <f>SUMPRODUCT(COUNTIF(E16:AF16,シフトパターン!$A$5:$A$23),シフトパターン!$F$5:$F$23)</f>
        <v/>
      </c>
      <c r="AH16" s="6">
        <f>AG16/4</f>
        <v/>
      </c>
      <c r="AI16" s="19">
        <f>AG16/160</f>
        <v/>
      </c>
      <c r="AJ16" s="8" t="inlineStr"/>
    </row>
    <row r="17" ht="22" customHeight="1">
      <c r="A17" s="5" t="n">
        <v>9</v>
      </c>
      <c r="B17" s="8" t="n"/>
      <c r="C17" s="8" t="n"/>
      <c r="D17" s="8" t="n"/>
      <c r="E17" s="13" t="n"/>
      <c r="F17" s="13" t="n"/>
      <c r="G17" s="13" t="n"/>
      <c r="H17" s="13" t="n"/>
      <c r="I17" s="13" t="n"/>
      <c r="J17" s="14" t="n"/>
      <c r="K17" s="15" t="n"/>
      <c r="L17" s="16" t="n"/>
      <c r="M17" s="17" t="n"/>
      <c r="N17" s="17" t="n"/>
      <c r="O17" s="17" t="n"/>
      <c r="P17" s="17" t="n"/>
      <c r="Q17" s="14" t="n"/>
      <c r="R17" s="15" t="n"/>
      <c r="S17" s="18" t="n"/>
      <c r="T17" s="13" t="n"/>
      <c r="U17" s="13" t="n"/>
      <c r="V17" s="13" t="n"/>
      <c r="W17" s="13" t="n"/>
      <c r="X17" s="14" t="n"/>
      <c r="Y17" s="15" t="n"/>
      <c r="Z17" s="16" t="n"/>
      <c r="AA17" s="17" t="n"/>
      <c r="AB17" s="17" t="n"/>
      <c r="AC17" s="17" t="n"/>
      <c r="AD17" s="17" t="n"/>
      <c r="AE17" s="14" t="n"/>
      <c r="AF17" s="14" t="n"/>
      <c r="AG17" s="6">
        <f>SUMPRODUCT(COUNTIF(E17:AF17,シフトパターン!$A$5:$A$23),シフトパターン!$F$5:$F$23)</f>
        <v/>
      </c>
      <c r="AH17" s="6">
        <f>AG17/4</f>
        <v/>
      </c>
      <c r="AI17" s="19">
        <f>AG17/160</f>
        <v/>
      </c>
      <c r="AJ17" s="8" t="n"/>
    </row>
    <row r="18" ht="22" customHeight="1">
      <c r="A18" s="5" t="n">
        <v>10</v>
      </c>
      <c r="B18" s="8" t="n"/>
      <c r="C18" s="8" t="n"/>
      <c r="D18" s="8" t="n"/>
      <c r="E18" s="13" t="n"/>
      <c r="F18" s="13" t="n"/>
      <c r="G18" s="13" t="n"/>
      <c r="H18" s="13" t="n"/>
      <c r="I18" s="13" t="n"/>
      <c r="J18" s="14" t="n"/>
      <c r="K18" s="15" t="n"/>
      <c r="L18" s="16" t="n"/>
      <c r="M18" s="17" t="n"/>
      <c r="N18" s="17" t="n"/>
      <c r="O18" s="17" t="n"/>
      <c r="P18" s="17" t="n"/>
      <c r="Q18" s="14" t="n"/>
      <c r="R18" s="15" t="n"/>
      <c r="S18" s="18" t="n"/>
      <c r="T18" s="13" t="n"/>
      <c r="U18" s="13" t="n"/>
      <c r="V18" s="13" t="n"/>
      <c r="W18" s="13" t="n"/>
      <c r="X18" s="14" t="n"/>
      <c r="Y18" s="15" t="n"/>
      <c r="Z18" s="16" t="n"/>
      <c r="AA18" s="17" t="n"/>
      <c r="AB18" s="17" t="n"/>
      <c r="AC18" s="17" t="n"/>
      <c r="AD18" s="17" t="n"/>
      <c r="AE18" s="14" t="n"/>
      <c r="AF18" s="14" t="n"/>
      <c r="AG18" s="6">
        <f>SUMPRODUCT(COUNTIF(E18:AF18,シフトパターン!$A$5:$A$23),シフトパターン!$F$5:$F$23)</f>
        <v/>
      </c>
      <c r="AH18" s="6">
        <f>AG18/4</f>
        <v/>
      </c>
      <c r="AI18" s="19">
        <f>AG18/160</f>
        <v/>
      </c>
      <c r="AJ18" s="8" t="n"/>
    </row>
    <row r="19" ht="22" customHeight="1">
      <c r="A19" s="5" t="n">
        <v>11</v>
      </c>
      <c r="B19" s="8" t="n"/>
      <c r="C19" s="8" t="n"/>
      <c r="D19" s="8" t="n"/>
      <c r="E19" s="13" t="n"/>
      <c r="F19" s="13" t="n"/>
      <c r="G19" s="13" t="n"/>
      <c r="H19" s="13" t="n"/>
      <c r="I19" s="13" t="n"/>
      <c r="J19" s="14" t="n"/>
      <c r="K19" s="15" t="n"/>
      <c r="L19" s="16" t="n"/>
      <c r="M19" s="17" t="n"/>
      <c r="N19" s="17" t="n"/>
      <c r="O19" s="17" t="n"/>
      <c r="P19" s="17" t="n"/>
      <c r="Q19" s="14" t="n"/>
      <c r="R19" s="15" t="n"/>
      <c r="S19" s="18" t="n"/>
      <c r="T19" s="13" t="n"/>
      <c r="U19" s="13" t="n"/>
      <c r="V19" s="13" t="n"/>
      <c r="W19" s="13" t="n"/>
      <c r="X19" s="14" t="n"/>
      <c r="Y19" s="15" t="n"/>
      <c r="Z19" s="16" t="n"/>
      <c r="AA19" s="17" t="n"/>
      <c r="AB19" s="17" t="n"/>
      <c r="AC19" s="17" t="n"/>
      <c r="AD19" s="17" t="n"/>
      <c r="AE19" s="14" t="n"/>
      <c r="AF19" s="14" t="n"/>
      <c r="AG19" s="6">
        <f>SUMPRODUCT(COUNTIF(E19:AF19,シフトパターン!$A$5:$A$23),シフトパターン!$F$5:$F$23)</f>
        <v/>
      </c>
      <c r="AH19" s="6">
        <f>AG19/4</f>
        <v/>
      </c>
      <c r="AI19" s="19">
        <f>AG19/160</f>
        <v/>
      </c>
      <c r="AJ19" s="8" t="n"/>
    </row>
    <row r="20" ht="22" customHeight="1">
      <c r="A20" s="5" t="n">
        <v>12</v>
      </c>
      <c r="B20" s="8" t="n"/>
      <c r="C20" s="8" t="n"/>
      <c r="D20" s="8" t="n"/>
      <c r="E20" s="13" t="n"/>
      <c r="F20" s="13" t="n"/>
      <c r="G20" s="13" t="n"/>
      <c r="H20" s="13" t="n"/>
      <c r="I20" s="13" t="n"/>
      <c r="J20" s="14" t="n"/>
      <c r="K20" s="15" t="n"/>
      <c r="L20" s="16" t="n"/>
      <c r="M20" s="17" t="n"/>
      <c r="N20" s="17" t="n"/>
      <c r="O20" s="17" t="n"/>
      <c r="P20" s="17" t="n"/>
      <c r="Q20" s="14" t="n"/>
      <c r="R20" s="15" t="n"/>
      <c r="S20" s="18" t="n"/>
      <c r="T20" s="13" t="n"/>
      <c r="U20" s="13" t="n"/>
      <c r="V20" s="13" t="n"/>
      <c r="W20" s="13" t="n"/>
      <c r="X20" s="14" t="n"/>
      <c r="Y20" s="15" t="n"/>
      <c r="Z20" s="16" t="n"/>
      <c r="AA20" s="17" t="n"/>
      <c r="AB20" s="17" t="n"/>
      <c r="AC20" s="17" t="n"/>
      <c r="AD20" s="17" t="n"/>
      <c r="AE20" s="14" t="n"/>
      <c r="AF20" s="14" t="n"/>
      <c r="AG20" s="6">
        <f>SUMPRODUCT(COUNTIF(E20:AF20,シフトパターン!$A$5:$A$23),シフトパターン!$F$5:$F$23)</f>
        <v/>
      </c>
      <c r="AH20" s="6">
        <f>AG20/4</f>
        <v/>
      </c>
      <c r="AI20" s="19">
        <f>AG20/160</f>
        <v/>
      </c>
      <c r="AJ20" s="8" t="n"/>
    </row>
    <row r="21" ht="22" customHeight="1">
      <c r="A21" s="5" t="n">
        <v>13</v>
      </c>
      <c r="B21" s="8" t="n"/>
      <c r="C21" s="8" t="n"/>
      <c r="D21" s="8" t="n"/>
      <c r="E21" s="13" t="n"/>
      <c r="F21" s="13" t="n"/>
      <c r="G21" s="13" t="n"/>
      <c r="H21" s="13" t="n"/>
      <c r="I21" s="13" t="n"/>
      <c r="J21" s="14" t="n"/>
      <c r="K21" s="15" t="n"/>
      <c r="L21" s="16" t="n"/>
      <c r="M21" s="17" t="n"/>
      <c r="N21" s="17" t="n"/>
      <c r="O21" s="17" t="n"/>
      <c r="P21" s="17" t="n"/>
      <c r="Q21" s="14" t="n"/>
      <c r="R21" s="15" t="n"/>
      <c r="S21" s="18" t="n"/>
      <c r="T21" s="13" t="n"/>
      <c r="U21" s="13" t="n"/>
      <c r="V21" s="13" t="n"/>
      <c r="W21" s="13" t="n"/>
      <c r="X21" s="14" t="n"/>
      <c r="Y21" s="15" t="n"/>
      <c r="Z21" s="16" t="n"/>
      <c r="AA21" s="17" t="n"/>
      <c r="AB21" s="17" t="n"/>
      <c r="AC21" s="17" t="n"/>
      <c r="AD21" s="17" t="n"/>
      <c r="AE21" s="14" t="n"/>
      <c r="AF21" s="14" t="n"/>
      <c r="AG21" s="6">
        <f>SUMPRODUCT(COUNTIF(E21:AF21,シフトパターン!$A$5:$A$23),シフトパターン!$F$5:$F$23)</f>
        <v/>
      </c>
      <c r="AH21" s="6">
        <f>AG21/4</f>
        <v/>
      </c>
      <c r="AI21" s="19">
        <f>AG21/160</f>
        <v/>
      </c>
      <c r="AJ21" s="8" t="n"/>
    </row>
    <row r="22" ht="22" customHeight="1">
      <c r="A22" s="5" t="n">
        <v>14</v>
      </c>
      <c r="B22" s="8" t="n"/>
      <c r="C22" s="8" t="n"/>
      <c r="D22" s="8" t="n"/>
      <c r="E22" s="13" t="n"/>
      <c r="F22" s="13" t="n"/>
      <c r="G22" s="13" t="n"/>
      <c r="H22" s="13" t="n"/>
      <c r="I22" s="13" t="n"/>
      <c r="J22" s="14" t="n"/>
      <c r="K22" s="15" t="n"/>
      <c r="L22" s="16" t="n"/>
      <c r="M22" s="17" t="n"/>
      <c r="N22" s="17" t="n"/>
      <c r="O22" s="17" t="n"/>
      <c r="P22" s="17" t="n"/>
      <c r="Q22" s="14" t="n"/>
      <c r="R22" s="15" t="n"/>
      <c r="S22" s="18" t="n"/>
      <c r="T22" s="13" t="n"/>
      <c r="U22" s="13" t="n"/>
      <c r="V22" s="13" t="n"/>
      <c r="W22" s="13" t="n"/>
      <c r="X22" s="14" t="n"/>
      <c r="Y22" s="15" t="n"/>
      <c r="Z22" s="16" t="n"/>
      <c r="AA22" s="17" t="n"/>
      <c r="AB22" s="17" t="n"/>
      <c r="AC22" s="17" t="n"/>
      <c r="AD22" s="17" t="n"/>
      <c r="AE22" s="14" t="n"/>
      <c r="AF22" s="14" t="n"/>
      <c r="AG22" s="6">
        <f>SUMPRODUCT(COUNTIF(E22:AF22,シフトパターン!$A$5:$A$23),シフトパターン!$F$5:$F$23)</f>
        <v/>
      </c>
      <c r="AH22" s="6">
        <f>AG22/4</f>
        <v/>
      </c>
      <c r="AI22" s="19">
        <f>AG22/160</f>
        <v/>
      </c>
      <c r="AJ22" s="8" t="n"/>
    </row>
    <row r="23" ht="22" customHeight="1">
      <c r="A23" s="5" t="n">
        <v>15</v>
      </c>
      <c r="B23" s="8" t="n"/>
      <c r="C23" s="8" t="n"/>
      <c r="D23" s="8" t="n"/>
      <c r="E23" s="13" t="n"/>
      <c r="F23" s="13" t="n"/>
      <c r="G23" s="13" t="n"/>
      <c r="H23" s="13" t="n"/>
      <c r="I23" s="13" t="n"/>
      <c r="J23" s="14" t="n"/>
      <c r="K23" s="15" t="n"/>
      <c r="L23" s="16" t="n"/>
      <c r="M23" s="17" t="n"/>
      <c r="N23" s="17" t="n"/>
      <c r="O23" s="17" t="n"/>
      <c r="P23" s="17" t="n"/>
      <c r="Q23" s="14" t="n"/>
      <c r="R23" s="15" t="n"/>
      <c r="S23" s="18" t="n"/>
      <c r="T23" s="13" t="n"/>
      <c r="U23" s="13" t="n"/>
      <c r="V23" s="13" t="n"/>
      <c r="W23" s="13" t="n"/>
      <c r="X23" s="14" t="n"/>
      <c r="Y23" s="15" t="n"/>
      <c r="Z23" s="16" t="n"/>
      <c r="AA23" s="17" t="n"/>
      <c r="AB23" s="17" t="n"/>
      <c r="AC23" s="17" t="n"/>
      <c r="AD23" s="17" t="n"/>
      <c r="AE23" s="14" t="n"/>
      <c r="AF23" s="14" t="n"/>
      <c r="AG23" s="6">
        <f>SUMPRODUCT(COUNTIF(E23:AF23,シフトパターン!$A$5:$A$23),シフトパターン!$F$5:$F$23)</f>
        <v/>
      </c>
      <c r="AH23" s="6">
        <f>AG23/4</f>
        <v/>
      </c>
      <c r="AI23" s="19">
        <f>AG23/160</f>
        <v/>
      </c>
      <c r="AJ23" s="8" t="n"/>
    </row>
    <row r="24" ht="24" customHeight="1">
      <c r="A24" s="20" t="inlineStr">
        <is>
          <t>合計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2">
        <f>SUM(AG9:AG23)</f>
        <v/>
      </c>
      <c r="AH24" s="22">
        <f>SUM(AH9:AH23)</f>
        <v/>
      </c>
      <c r="AI24" s="23">
        <f>SUM(AI9:AI23)</f>
        <v/>
      </c>
      <c r="AJ24" s="21" t="n"/>
    </row>
    <row r="27">
      <c r="A27" s="24" t="inlineStr">
        <is>
          <t>【人員配置基準】（地域密着型通所介護・利用定員18名）</t>
        </is>
      </c>
    </row>
    <row r="28" ht="22" customHeight="1">
      <c r="A28" s="9" t="inlineStr">
        <is>
          <t>管理者</t>
        </is>
      </c>
      <c r="B28" s="10" t="n"/>
      <c r="C28" s="10" t="n"/>
      <c r="D28" s="11" t="n"/>
      <c r="E28" s="8" t="inlineStr">
        <is>
          <t>常勤専従1名（他の職務との兼務可）</t>
        </is>
      </c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1" t="n"/>
    </row>
    <row r="29" ht="22" customHeight="1">
      <c r="A29" s="9" t="inlineStr">
        <is>
          <t>生活相談員</t>
        </is>
      </c>
      <c r="B29" s="10" t="n"/>
      <c r="C29" s="10" t="n"/>
      <c r="D29" s="11" t="n"/>
      <c r="E29" s="8" t="inlineStr">
        <is>
          <t>サービス提供時間帯を通じて専従1名以上</t>
        </is>
      </c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1" t="n"/>
    </row>
    <row r="30" ht="22" customHeight="1">
      <c r="A30" s="9" t="inlineStr">
        <is>
          <t>看護職員</t>
        </is>
      </c>
      <c r="B30" s="10" t="n"/>
      <c r="C30" s="10" t="n"/>
      <c r="D30" s="11" t="n"/>
      <c r="E30" s="8" t="inlineStr">
        <is>
          <t>サービス提供時間帯を通じて専従1名以上</t>
        </is>
      </c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1" t="n"/>
    </row>
    <row r="31" ht="22" customHeight="1">
      <c r="A31" s="9" t="inlineStr">
        <is>
          <t>機能訓練指導員</t>
        </is>
      </c>
      <c r="B31" s="10" t="n"/>
      <c r="C31" s="10" t="n"/>
      <c r="D31" s="11" t="n"/>
      <c r="E31" s="8" t="inlineStr">
        <is>
          <t>1名以上（PT・OT・ST・看護職員・柔道整復師等）</t>
        </is>
      </c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1" t="n"/>
    </row>
    <row r="32" ht="22" customHeight="1">
      <c r="A32" s="9" t="inlineStr">
        <is>
          <t>介護職員</t>
        </is>
      </c>
      <c r="B32" s="10" t="n"/>
      <c r="C32" s="10" t="n"/>
      <c r="D32" s="11" t="n"/>
      <c r="E32" s="8" t="inlineStr">
        <is>
          <t>利用者15人まで1名以上、15人超は5名増ごとに+1名（定員18名→2名以上）</t>
        </is>
      </c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1" t="n"/>
    </row>
    <row r="34">
      <c r="A34" s="25" t="inlineStr">
        <is>
          <t>【使い方】</t>
        </is>
      </c>
    </row>
    <row r="35">
      <c r="A35" s="2" t="inlineStr">
        <is>
          <t>1. 「シフトパターン」シートで使うシフトを登録（早／日／遅／A／B／休 等）。実働時間も入力。</t>
        </is>
      </c>
    </row>
    <row r="36">
      <c r="A36" s="2" t="inlineStr">
        <is>
          <t>2. このシート（勤務形態一覧表）の各日のセルをクリック → ドロップダウンからシフトコードを選択。</t>
        </is>
      </c>
    </row>
    <row r="37">
      <c r="A37" s="2" t="inlineStr">
        <is>
          <t>3. 月合計・月平均・常勤換算は、シフトパターンの実働時間から自動で計算されます。</t>
        </is>
      </c>
    </row>
    <row r="38">
      <c r="A38" s="2" t="inlineStr">
        <is>
          <t>4. シフトを追加したい場合は「シフトパターン」シートに行を追加するだけで、ドロップダウンに反映されます。</t>
        </is>
      </c>
    </row>
    <row r="39">
      <c r="A39" s="2" t="inlineStr">
        <is>
          <t>※ 常勤換算は週40h × 4週 = 月160h を分母としています（=月合計/160）。</t>
        </is>
      </c>
    </row>
  </sheetData>
  <mergeCells count="43">
    <mergeCell ref="A5:D5"/>
    <mergeCell ref="E32:AJ32"/>
    <mergeCell ref="A36:AJ36"/>
    <mergeCell ref="E3:R3"/>
    <mergeCell ref="W4:AJ4"/>
    <mergeCell ref="A4:D4"/>
    <mergeCell ref="A7:A8"/>
    <mergeCell ref="A29:D29"/>
    <mergeCell ref="AJ7:AJ8"/>
    <mergeCell ref="S5:V5"/>
    <mergeCell ref="E7:K7"/>
    <mergeCell ref="E5:R5"/>
    <mergeCell ref="A28:D28"/>
    <mergeCell ref="A37:AJ37"/>
    <mergeCell ref="W5:AJ5"/>
    <mergeCell ref="A31:D31"/>
    <mergeCell ref="S4:V4"/>
    <mergeCell ref="A27:AJ27"/>
    <mergeCell ref="E4:R4"/>
    <mergeCell ref="A30:D30"/>
    <mergeCell ref="D7:D8"/>
    <mergeCell ref="L7:R7"/>
    <mergeCell ref="AI7:AI8"/>
    <mergeCell ref="A24:D24"/>
    <mergeCell ref="AG7:AG8"/>
    <mergeCell ref="E29:AJ29"/>
    <mergeCell ref="W3:AJ3"/>
    <mergeCell ref="E28:AJ28"/>
    <mergeCell ref="S3:V3"/>
    <mergeCell ref="E31:AJ31"/>
    <mergeCell ref="C7:C8"/>
    <mergeCell ref="A35:AJ35"/>
    <mergeCell ref="Z7:AF7"/>
    <mergeCell ref="A38:AJ38"/>
    <mergeCell ref="E30:AJ30"/>
    <mergeCell ref="S7:Y7"/>
    <mergeCell ref="AH7:AH8"/>
    <mergeCell ref="A3:D3"/>
    <mergeCell ref="A34:AJ34"/>
    <mergeCell ref="A39:AJ39"/>
    <mergeCell ref="B7:B8"/>
    <mergeCell ref="A32:D32"/>
    <mergeCell ref="A1:AJ1"/>
  </mergeCells>
  <dataValidations count="1">
    <dataValidation sqref="E9:AF9 E10:AF10 E11:AF11 E12:AF12 E13:AF13 E14:AF14 E15:AF15 E16:AF16 E17:AF17 E18:AF18 E19:AF19 E20:AF20 E21:AF21 E22:AF22 E23:AF23" showDropDown="0" showInputMessage="1" showErrorMessage="0" allowBlank="1" errorTitle="無効なシフトコード" error="シフトパターンに登録されたコードを選択してください" promptTitle="シフト入力" prompt="シフトコードを選択" type="list">
      <formula1>=シフトパターン!$A$5:$A$23</formula1>
    </dataValidation>
  </dataValidations>
  <printOptions horizontalCentered="1"/>
  <pageMargins left="0.4" right="0.4" top="0.5" bottom="0.5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2026-04-30T08:10:49Z</dcterms:created>
  <dcterms:modified xmlns:dcterms="http://purl.org/dc/terms/" xmlns:xsi="http://www.w3.org/2001/XMLSchema-instance" xsi:type="dcterms:W3CDTF">2026-04-30T08:10:49Z</dcterms:modified>
</cp:coreProperties>
</file>